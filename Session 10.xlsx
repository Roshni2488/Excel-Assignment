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DF625ACC-374D-457F-A001-4BE94149BB1E}" xr6:coauthVersionLast="47" xr6:coauthVersionMax="47" xr10:uidLastSave="{00000000-0000-0000-0000-000000000000}"/>
  <bookViews>
    <workbookView xWindow="-108" yWindow="-108" windowWidth="23256" windowHeight="12456" firstSheet="2" activeTab="4" xr2:uid="{358E259E-23C5-485B-8F7C-4EB15139EAF1}"/>
  </bookViews>
  <sheets>
    <sheet name="Task 1 - XLOOKUP" sheetId="1" r:id="rId1"/>
    <sheet name="Task 2 - XLOOKUP Last" sheetId="2" r:id="rId2"/>
    <sheet name="Task 3 - XLOOKUP Default" sheetId="3" r:id="rId3"/>
    <sheet name="Task 4 - XLOOKUP Multiple" sheetId="4" r:id="rId4"/>
    <sheet name="Task 5 - XLOOKUP Not Foun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G2" i="4" a="1"/>
  <c r="G2" i="4" s="1"/>
  <c r="G2" i="3"/>
  <c r="G2" i="2"/>
  <c r="G4" i="1"/>
  <c r="G3" i="1"/>
  <c r="G5" i="1"/>
  <c r="G6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<sst xmlns="http://schemas.openxmlformats.org/spreadsheetml/2006/main" count="153" uniqueCount="99">
  <si>
    <t>Product ID</t>
  </si>
  <si>
    <t>Product Name</t>
  </si>
  <si>
    <t>Category</t>
  </si>
  <si>
    <t>Price</t>
  </si>
  <si>
    <t>FP101</t>
  </si>
  <si>
    <t>Laptop</t>
  </si>
  <si>
    <t>Electronics</t>
  </si>
  <si>
    <t>FP102</t>
  </si>
  <si>
    <t>Smartphone</t>
  </si>
  <si>
    <t>FP103</t>
  </si>
  <si>
    <t>Headphones</t>
  </si>
  <si>
    <t>FP104</t>
  </si>
  <si>
    <t>Keyboard</t>
  </si>
  <si>
    <t>Accessories</t>
  </si>
  <si>
    <t>FP105</t>
  </si>
  <si>
    <t>Mouse</t>
  </si>
  <si>
    <t>FP106</t>
  </si>
  <si>
    <t>Monitor</t>
  </si>
  <si>
    <t>FP107</t>
  </si>
  <si>
    <t>Smartwatch</t>
  </si>
  <si>
    <t>Wearable</t>
  </si>
  <si>
    <t>FP108</t>
  </si>
  <si>
    <t>Tablet</t>
  </si>
  <si>
    <t>FP109</t>
  </si>
  <si>
    <t>Power Bank</t>
  </si>
  <si>
    <t>FP110</t>
  </si>
  <si>
    <t>Earbuds</t>
  </si>
  <si>
    <t>Order ID</t>
  </si>
  <si>
    <t>Restaurant Name</t>
  </si>
  <si>
    <t>Order Date</t>
  </si>
  <si>
    <t>Amount</t>
  </si>
  <si>
    <t>ZM101</t>
  </si>
  <si>
    <t>Food Corner</t>
  </si>
  <si>
    <t>ZM102</t>
  </si>
  <si>
    <t>Pizza Hub</t>
  </si>
  <si>
    <t>ZM103</t>
  </si>
  <si>
    <t>ZM104</t>
  </si>
  <si>
    <t>Spice House</t>
  </si>
  <si>
    <t>ZM105</t>
  </si>
  <si>
    <t>ZM106</t>
  </si>
  <si>
    <t>ZM107</t>
  </si>
  <si>
    <t>ZM108</t>
  </si>
  <si>
    <t>ZM109</t>
  </si>
  <si>
    <t>ZM110</t>
  </si>
  <si>
    <t>Restaurant</t>
  </si>
  <si>
    <t>Last Order Amount</t>
  </si>
  <si>
    <t>Playlist Name</t>
  </si>
  <si>
    <t>Genre</t>
  </si>
  <si>
    <t>Created By</t>
  </si>
  <si>
    <t>Number of Songs</t>
  </si>
  <si>
    <t>Chill Vibes</t>
  </si>
  <si>
    <t>Pop</t>
  </si>
  <si>
    <t>Rahul</t>
  </si>
  <si>
    <t>Workout Hits</t>
  </si>
  <si>
    <t>Fitness</t>
  </si>
  <si>
    <t>Priya</t>
  </si>
  <si>
    <t>Bollywood Beats</t>
  </si>
  <si>
    <t>Bollywood</t>
  </si>
  <si>
    <t>Amit</t>
  </si>
  <si>
    <t>Romantic Songs</t>
  </si>
  <si>
    <t>Romantic</t>
  </si>
  <si>
    <t>Neha</t>
  </si>
  <si>
    <t>Party Mix</t>
  </si>
  <si>
    <t>Party</t>
  </si>
  <si>
    <t>Riya</t>
  </si>
  <si>
    <t>LoFi Study</t>
  </si>
  <si>
    <t>LoFi</t>
  </si>
  <si>
    <t>Karan</t>
  </si>
  <si>
    <t>Punjabi Hits</t>
  </si>
  <si>
    <t>Punjabi</t>
  </si>
  <si>
    <t>Pooja</t>
  </si>
  <si>
    <t>Rock Classics</t>
  </si>
  <si>
    <t>Rock</t>
  </si>
  <si>
    <t>Ankit</t>
  </si>
  <si>
    <t>Search Genre</t>
  </si>
  <si>
    <t>Employee</t>
  </si>
  <si>
    <t>Department</t>
  </si>
  <si>
    <t>Salary</t>
  </si>
  <si>
    <t>Sales</t>
  </si>
  <si>
    <t>HR</t>
  </si>
  <si>
    <t>IT</t>
  </si>
  <si>
    <t>Simran</t>
  </si>
  <si>
    <t>Mohit</t>
  </si>
  <si>
    <t>Product</t>
  </si>
  <si>
    <t>P101</t>
  </si>
  <si>
    <t>P102</t>
  </si>
  <si>
    <t>Mobile</t>
  </si>
  <si>
    <t>P103</t>
  </si>
  <si>
    <t>P104</t>
  </si>
  <si>
    <t>P105</t>
  </si>
  <si>
    <t>P106</t>
  </si>
  <si>
    <t>P107</t>
  </si>
  <si>
    <t>P108</t>
  </si>
  <si>
    <t>P109</t>
  </si>
  <si>
    <t>Printer</t>
  </si>
  <si>
    <t>P110</t>
  </si>
  <si>
    <t>Speaker</t>
  </si>
  <si>
    <t>Search Product ID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</si>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</sst>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C312-CF94-4FD1-911B-F46EE2C2A9E3}">
  <dimension ref="A1:G11"/>
  <sheetViews>
    <sheetView workbookViewId="0">
      <selection activeCell="G3" sqref="G3"/>
    </sheetView>
  </sheetViews>
  <sheetFormatPr defaultRowHeight="14.4" x14ac:dyDescent="0.3"/>
  <cols>
    <col min="1" max="1" width="13.21875" customWidth="1"/>
    <col min="2" max="2" width="13.88671875" customWidth="1"/>
    <col min="7" max="7" width="13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3" t="s">
        <v>3</v>
      </c>
      <c r="F1" t="s">
        <v>0</v>
      </c>
      <c r="G1" t="s">
        <v>1</v>
      </c>
    </row>
    <row r="2" spans="1:7" ht="28.8" x14ac:dyDescent="0.3">
      <c r="A2" s="4" t="s">
        <v>4</v>
      </c>
      <c r="B2" s="4" t="s">
        <v>5</v>
      </c>
      <c r="C2" s="4" t="s">
        <v>6</v>
      </c>
      <c r="D2" s="2">
        <v>55000</v>
      </c>
      <c r="F2" t="s">
        <v>9</v>
      </c>
      <c r="G2" t="str">
        <f>_xlfn.XLOOKUP(F2,A2:A11,B2:B11)</f>
        <v>Headphones</v>
      </c>
    </row>
    <row r="3" spans="1:7" ht="28.8" x14ac:dyDescent="0.3">
      <c r="A3" s="4" t="s">
        <v>7</v>
      </c>
      <c r="B3" s="4" t="s">
        <v>8</v>
      </c>
      <c r="C3" s="4" t="s">
        <v>6</v>
      </c>
      <c r="D3" s="2">
        <v>25000</v>
      </c>
      <c r="F3" t="s">
        <v>18</v>
      </c>
      <c r="G3" t="str">
        <f t="shared" ref="G3:G6" si="0">_xlfn.XLOOKUP(F3,A3:A12,B3:B12)</f>
        <v>Smartwatch</v>
      </c>
    </row>
    <row r="4" spans="1:7" ht="28.8" x14ac:dyDescent="0.3">
      <c r="A4" s="4" t="s">
        <v>9</v>
      </c>
      <c r="B4" s="4" t="s">
        <v>10</v>
      </c>
      <c r="C4" s="4" t="s">
        <v>6</v>
      </c>
      <c r="D4" s="2">
        <v>2000</v>
      </c>
      <c r="F4" t="s">
        <v>4</v>
      </c>
      <c r="G4" t="str">
        <f>_xlfn.XLOOKUP(F4,$A$2:$A$11,$B$2:$B$11,"Not Found")</f>
        <v>Laptop</v>
      </c>
    </row>
    <row r="5" spans="1:7" ht="28.8" x14ac:dyDescent="0.3">
      <c r="A5" s="4" t="s">
        <v>11</v>
      </c>
      <c r="B5" s="4" t="s">
        <v>12</v>
      </c>
      <c r="C5" s="4" t="s">
        <v>13</v>
      </c>
      <c r="D5" s="2">
        <v>1500</v>
      </c>
      <c r="F5" t="s">
        <v>23</v>
      </c>
      <c r="G5" t="str">
        <f t="shared" si="0"/>
        <v>Power Bank</v>
      </c>
    </row>
    <row r="6" spans="1:7" ht="28.8" x14ac:dyDescent="0.3">
      <c r="A6" s="4" t="s">
        <v>14</v>
      </c>
      <c r="B6" s="4" t="s">
        <v>15</v>
      </c>
      <c r="C6" s="4" t="s">
        <v>13</v>
      </c>
      <c r="D6" s="2">
        <v>800</v>
      </c>
      <c r="F6" t="s">
        <v>14</v>
      </c>
      <c r="G6" t="str">
        <f t="shared" si="0"/>
        <v>Mouse</v>
      </c>
    </row>
    <row r="7" spans="1:7" ht="28.8" x14ac:dyDescent="0.3">
      <c r="A7" s="4" t="s">
        <v>16</v>
      </c>
      <c r="B7" s="4" t="s">
        <v>17</v>
      </c>
      <c r="C7" s="4" t="s">
        <v>6</v>
      </c>
      <c r="D7" s="2">
        <v>12000</v>
      </c>
    </row>
    <row r="8" spans="1:7" ht="28.8" x14ac:dyDescent="0.3">
      <c r="A8" s="4" t="s">
        <v>18</v>
      </c>
      <c r="B8" s="4" t="s">
        <v>19</v>
      </c>
      <c r="C8" s="4" t="s">
        <v>20</v>
      </c>
      <c r="D8" s="2">
        <v>3500</v>
      </c>
    </row>
    <row r="9" spans="1:7" ht="28.8" x14ac:dyDescent="0.3">
      <c r="A9" s="4" t="s">
        <v>21</v>
      </c>
      <c r="B9" s="4" t="s">
        <v>22</v>
      </c>
      <c r="C9" s="4" t="s">
        <v>6</v>
      </c>
      <c r="D9" s="2">
        <v>18000</v>
      </c>
    </row>
    <row r="10" spans="1:7" ht="28.8" x14ac:dyDescent="0.3">
      <c r="A10" s="4" t="s">
        <v>23</v>
      </c>
      <c r="B10" s="4" t="s">
        <v>24</v>
      </c>
      <c r="C10" s="4" t="s">
        <v>13</v>
      </c>
      <c r="D10" s="2">
        <v>1200</v>
      </c>
    </row>
    <row r="11" spans="1:7" ht="28.8" x14ac:dyDescent="0.3">
      <c r="A11" s="4" t="s">
        <v>25</v>
      </c>
      <c r="B11" s="4" t="s">
        <v>26</v>
      </c>
      <c r="C11" s="4" t="s">
        <v>6</v>
      </c>
      <c r="D11" s="2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F6A3-BC26-4420-8170-4E571406D16F}">
  <dimension ref="A1:G11"/>
  <sheetViews>
    <sheetView workbookViewId="0">
      <selection activeCell="G2" sqref="G2"/>
    </sheetView>
  </sheetViews>
  <sheetFormatPr defaultRowHeight="14.4" x14ac:dyDescent="0.3"/>
  <cols>
    <col min="2" max="2" width="16.33203125" customWidth="1"/>
    <col min="3" max="3" width="15.21875" customWidth="1"/>
    <col min="6" max="6" width="11.5546875" customWidth="1"/>
    <col min="7" max="7" width="18.33203125" customWidth="1"/>
  </cols>
  <sheetData>
    <row r="1" spans="1:7" x14ac:dyDescent="0.3">
      <c r="A1" s="1" t="s">
        <v>27</v>
      </c>
      <c r="B1" s="1" t="s">
        <v>28</v>
      </c>
      <c r="C1" s="1" t="s">
        <v>29</v>
      </c>
      <c r="D1" s="3" t="s">
        <v>30</v>
      </c>
      <c r="F1" t="s">
        <v>44</v>
      </c>
      <c r="G1" t="s">
        <v>45</v>
      </c>
    </row>
    <row r="2" spans="1:7" x14ac:dyDescent="0.3">
      <c r="A2" s="4" t="s">
        <v>31</v>
      </c>
      <c r="B2" s="4" t="s">
        <v>32</v>
      </c>
      <c r="C2" s="5">
        <v>46266</v>
      </c>
      <c r="D2" s="2">
        <v>450</v>
      </c>
      <c r="F2" t="s">
        <v>32</v>
      </c>
      <c r="G2">
        <f>_xlfn.XLOOKUP(F2,B2:B11,D2:D11,"Not Found",0,-1)</f>
        <v>600</v>
      </c>
    </row>
    <row r="3" spans="1:7" x14ac:dyDescent="0.3">
      <c r="A3" s="4" t="s">
        <v>33</v>
      </c>
      <c r="B3" s="4" t="s">
        <v>34</v>
      </c>
      <c r="C3" s="5">
        <v>46267</v>
      </c>
      <c r="D3" s="2">
        <v>700</v>
      </c>
    </row>
    <row r="4" spans="1:7" ht="28.8" x14ac:dyDescent="0.3">
      <c r="A4" s="4" t="s">
        <v>35</v>
      </c>
      <c r="B4" s="4" t="s">
        <v>32</v>
      </c>
      <c r="C4" s="5">
        <v>46268</v>
      </c>
      <c r="D4" s="2">
        <v>550</v>
      </c>
    </row>
    <row r="5" spans="1:7" ht="28.8" x14ac:dyDescent="0.3">
      <c r="A5" s="4" t="s">
        <v>36</v>
      </c>
      <c r="B5" s="4" t="s">
        <v>37</v>
      </c>
      <c r="C5" s="5">
        <v>46269</v>
      </c>
      <c r="D5" s="2">
        <v>800</v>
      </c>
    </row>
    <row r="6" spans="1:7" x14ac:dyDescent="0.3">
      <c r="A6" s="4" t="s">
        <v>38</v>
      </c>
      <c r="B6" s="4" t="s">
        <v>34</v>
      </c>
      <c r="C6" s="5">
        <v>46270</v>
      </c>
      <c r="D6" s="2">
        <v>650</v>
      </c>
    </row>
    <row r="7" spans="1:7" ht="28.8" x14ac:dyDescent="0.3">
      <c r="A7" s="4" t="s">
        <v>39</v>
      </c>
      <c r="B7" s="4" t="s">
        <v>32</v>
      </c>
      <c r="C7" s="5">
        <v>46271</v>
      </c>
      <c r="D7" s="2">
        <v>900</v>
      </c>
    </row>
    <row r="8" spans="1:7" ht="28.8" x14ac:dyDescent="0.3">
      <c r="A8" s="4" t="s">
        <v>40</v>
      </c>
      <c r="B8" s="4" t="s">
        <v>37</v>
      </c>
      <c r="C8" s="5">
        <v>46272</v>
      </c>
      <c r="D8" s="2">
        <v>750</v>
      </c>
    </row>
    <row r="9" spans="1:7" x14ac:dyDescent="0.3">
      <c r="A9" s="4" t="s">
        <v>41</v>
      </c>
      <c r="B9" s="4" t="s">
        <v>34</v>
      </c>
      <c r="C9" s="5">
        <v>46273</v>
      </c>
      <c r="D9" s="2">
        <v>950</v>
      </c>
    </row>
    <row r="10" spans="1:7" ht="28.8" x14ac:dyDescent="0.3">
      <c r="A10" s="4" t="s">
        <v>42</v>
      </c>
      <c r="B10" s="4" t="s">
        <v>32</v>
      </c>
      <c r="C10" s="5">
        <v>46274</v>
      </c>
      <c r="D10" s="2">
        <v>600</v>
      </c>
    </row>
    <row r="11" spans="1:7" ht="28.8" x14ac:dyDescent="0.3">
      <c r="A11" s="4" t="s">
        <v>43</v>
      </c>
      <c r="B11" s="4" t="s">
        <v>37</v>
      </c>
      <c r="C11" s="5">
        <v>46275</v>
      </c>
      <c r="D11" s="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4EB8-7223-40AA-8C8D-8897B37DF84A}">
  <dimension ref="A1:G9"/>
  <sheetViews>
    <sheetView workbookViewId="0">
      <selection activeCell="F3" sqref="F3"/>
    </sheetView>
  </sheetViews>
  <sheetFormatPr defaultRowHeight="14.4" x14ac:dyDescent="0.3"/>
  <cols>
    <col min="1" max="1" width="12.88671875" customWidth="1"/>
    <col min="3" max="3" width="13.109375" customWidth="1"/>
    <col min="4" max="4" width="15.5546875" customWidth="1"/>
    <col min="6" max="6" width="14.6640625" customWidth="1"/>
    <col min="7" max="7" width="15.77734375" customWidth="1"/>
  </cols>
  <sheetData>
    <row r="1" spans="1:7" x14ac:dyDescent="0.3">
      <c r="A1" s="1" t="s">
        <v>46</v>
      </c>
      <c r="B1" s="1" t="s">
        <v>47</v>
      </c>
      <c r="C1" s="1" t="s">
        <v>48</v>
      </c>
      <c r="D1" s="3" t="s">
        <v>49</v>
      </c>
      <c r="F1" t="s">
        <v>74</v>
      </c>
      <c r="G1" t="s">
        <v>46</v>
      </c>
    </row>
    <row r="2" spans="1:7" x14ac:dyDescent="0.3">
      <c r="A2" s="4" t="s">
        <v>50</v>
      </c>
      <c r="B2" s="4" t="s">
        <v>51</v>
      </c>
      <c r="C2" s="4" t="s">
        <v>52</v>
      </c>
      <c r="D2" s="2">
        <v>25</v>
      </c>
      <c r="F2" t="s">
        <v>57</v>
      </c>
      <c r="G2" t="str">
        <f>_xlfn.XLOOKUP(F2,B2:B9,A2:A9,"No playlist available")</f>
        <v>Bollywood Beats</v>
      </c>
    </row>
    <row r="3" spans="1:7" x14ac:dyDescent="0.3">
      <c r="A3" s="4" t="s">
        <v>53</v>
      </c>
      <c r="B3" s="4" t="s">
        <v>54</v>
      </c>
      <c r="C3" s="4" t="s">
        <v>55</v>
      </c>
      <c r="D3" s="2">
        <v>30</v>
      </c>
    </row>
    <row r="4" spans="1:7" ht="28.8" x14ac:dyDescent="0.3">
      <c r="A4" s="4" t="s">
        <v>56</v>
      </c>
      <c r="B4" s="4" t="s">
        <v>57</v>
      </c>
      <c r="C4" s="4" t="s">
        <v>58</v>
      </c>
      <c r="D4" s="2">
        <v>40</v>
      </c>
    </row>
    <row r="5" spans="1:7" ht="28.8" x14ac:dyDescent="0.3">
      <c r="A5" s="4" t="s">
        <v>59</v>
      </c>
      <c r="B5" s="4" t="s">
        <v>60</v>
      </c>
      <c r="C5" s="4" t="s">
        <v>61</v>
      </c>
      <c r="D5" s="2">
        <v>20</v>
      </c>
    </row>
    <row r="6" spans="1:7" x14ac:dyDescent="0.3">
      <c r="A6" s="4" t="s">
        <v>62</v>
      </c>
      <c r="B6" s="4" t="s">
        <v>63</v>
      </c>
      <c r="C6" s="4" t="s">
        <v>64</v>
      </c>
      <c r="D6" s="2">
        <v>35</v>
      </c>
    </row>
    <row r="7" spans="1:7" ht="28.8" x14ac:dyDescent="0.3">
      <c r="A7" s="4" t="s">
        <v>65</v>
      </c>
      <c r="B7" s="4" t="s">
        <v>66</v>
      </c>
      <c r="C7" s="4" t="s">
        <v>67</v>
      </c>
      <c r="D7" s="2">
        <v>28</v>
      </c>
    </row>
    <row r="8" spans="1:7" ht="28.8" x14ac:dyDescent="0.3">
      <c r="A8" s="4" t="s">
        <v>68</v>
      </c>
      <c r="B8" s="4" t="s">
        <v>69</v>
      </c>
      <c r="C8" s="4" t="s">
        <v>70</v>
      </c>
      <c r="D8" s="2">
        <v>32</v>
      </c>
    </row>
    <row r="9" spans="1:7" ht="28.8" x14ac:dyDescent="0.3">
      <c r="A9" s="4" t="s">
        <v>71</v>
      </c>
      <c r="B9" s="4" t="s">
        <v>72</v>
      </c>
      <c r="C9" s="4" t="s">
        <v>73</v>
      </c>
      <c r="D9" s="2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DE59-3E34-418A-B86C-3CD3A773CAC8}">
  <dimension ref="A1:G11"/>
  <sheetViews>
    <sheetView workbookViewId="0">
      <selection activeCell="G2" sqref="G2"/>
    </sheetView>
  </sheetViews>
  <sheetFormatPr defaultRowHeight="14.4" x14ac:dyDescent="0.3"/>
  <cols>
    <col min="1" max="1" width="11.44140625" customWidth="1"/>
    <col min="2" max="2" width="13.44140625" customWidth="1"/>
    <col min="6" max="6" width="11.33203125" customWidth="1"/>
  </cols>
  <sheetData>
    <row r="1" spans="1:7" x14ac:dyDescent="0.3">
      <c r="A1" s="1" t="s">
        <v>75</v>
      </c>
      <c r="B1" s="1" t="s">
        <v>76</v>
      </c>
      <c r="C1" s="3" t="s">
        <v>77</v>
      </c>
      <c r="E1" t="s">
        <v>75</v>
      </c>
      <c r="F1" t="s">
        <v>76</v>
      </c>
      <c r="G1" t="s">
        <v>77</v>
      </c>
    </row>
    <row r="2" spans="1:7" x14ac:dyDescent="0.3">
      <c r="A2" s="4" t="s">
        <v>52</v>
      </c>
      <c r="B2" s="4" t="s">
        <v>78</v>
      </c>
      <c r="C2" s="2">
        <v>35000</v>
      </c>
      <c r="E2" t="s">
        <v>61</v>
      </c>
      <c r="F2" t="s">
        <v>78</v>
      </c>
      <c r="G2" cm="1">
        <f t="array" ref="G2">_xlfn.XLOOKUP(1,(A2:A11=E2)*(B2:B11=F2),C2:C11,"Not Found")</f>
        <v>42000</v>
      </c>
    </row>
    <row r="3" spans="1:7" x14ac:dyDescent="0.3">
      <c r="A3" s="4" t="s">
        <v>55</v>
      </c>
      <c r="B3" s="4" t="s">
        <v>79</v>
      </c>
      <c r="C3" s="2">
        <v>40000</v>
      </c>
    </row>
    <row r="4" spans="1:7" x14ac:dyDescent="0.3">
      <c r="A4" s="4" t="s">
        <v>58</v>
      </c>
      <c r="B4" s="4" t="s">
        <v>80</v>
      </c>
      <c r="C4" s="2">
        <v>50000</v>
      </c>
    </row>
    <row r="5" spans="1:7" x14ac:dyDescent="0.3">
      <c r="A5" s="4" t="s">
        <v>61</v>
      </c>
      <c r="B5" s="4" t="s">
        <v>78</v>
      </c>
      <c r="C5" s="2">
        <v>42000</v>
      </c>
    </row>
    <row r="6" spans="1:7" x14ac:dyDescent="0.3">
      <c r="A6" s="4" t="s">
        <v>64</v>
      </c>
      <c r="B6" s="4" t="s">
        <v>79</v>
      </c>
      <c r="C6" s="2">
        <v>45000</v>
      </c>
    </row>
    <row r="7" spans="1:7" x14ac:dyDescent="0.3">
      <c r="A7" s="4" t="s">
        <v>67</v>
      </c>
      <c r="B7" s="4" t="s">
        <v>80</v>
      </c>
      <c r="C7" s="2">
        <v>55000</v>
      </c>
    </row>
    <row r="8" spans="1:7" x14ac:dyDescent="0.3">
      <c r="A8" s="4" t="s">
        <v>70</v>
      </c>
      <c r="B8" s="4" t="s">
        <v>78</v>
      </c>
      <c r="C8" s="2">
        <v>38000</v>
      </c>
    </row>
    <row r="9" spans="1:7" x14ac:dyDescent="0.3">
      <c r="A9" s="4" t="s">
        <v>73</v>
      </c>
      <c r="B9" s="4" t="s">
        <v>80</v>
      </c>
      <c r="C9" s="2">
        <v>48000</v>
      </c>
    </row>
    <row r="10" spans="1:7" x14ac:dyDescent="0.3">
      <c r="A10" s="4" t="s">
        <v>81</v>
      </c>
      <c r="B10" s="4" t="s">
        <v>79</v>
      </c>
      <c r="C10" s="2">
        <v>42000</v>
      </c>
    </row>
    <row r="11" spans="1:7" x14ac:dyDescent="0.3">
      <c r="A11" s="4" t="s">
        <v>82</v>
      </c>
      <c r="B11" s="4" t="s">
        <v>78</v>
      </c>
      <c r="C11" s="2"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84C0-B3C2-4AB3-A045-8D0A57F91020}">
  <dimension ref="A1:F11"/>
  <sheetViews>
    <sheetView tabSelected="1" workbookViewId="0">
      <selection activeCell="F2" sqref="F2"/>
    </sheetView>
  </sheetViews>
  <sheetFormatPr defaultRowHeight="14.4" x14ac:dyDescent="0.3"/>
  <cols>
    <col min="1" max="1" width="13.109375" customWidth="1"/>
    <col min="5" max="5" width="15.88671875" customWidth="1"/>
  </cols>
  <sheetData>
    <row r="1" spans="1:6" x14ac:dyDescent="0.3">
      <c r="A1" s="1" t="s">
        <v>0</v>
      </c>
      <c r="B1" s="1" t="s">
        <v>83</v>
      </c>
      <c r="C1" s="3" t="s">
        <v>3</v>
      </c>
      <c r="E1" t="s">
        <v>97</v>
      </c>
      <c r="F1" t="s">
        <v>3</v>
      </c>
    </row>
    <row r="2" spans="1:6" x14ac:dyDescent="0.3">
      <c r="A2" s="4" t="s">
        <v>84</v>
      </c>
      <c r="B2" s="4" t="s">
        <v>5</v>
      </c>
      <c r="C2" s="2">
        <v>55000</v>
      </c>
      <c r="E2" t="s">
        <v>98</v>
      </c>
      <c r="F2" t="str">
        <f>_xlfn.XLOOKUP(E2,A2:A11,C2:C11,"Product Not Found")</f>
        <v>Product Not Found</v>
      </c>
    </row>
    <row r="3" spans="1:6" x14ac:dyDescent="0.3">
      <c r="A3" s="4" t="s">
        <v>85</v>
      </c>
      <c r="B3" s="4" t="s">
        <v>86</v>
      </c>
      <c r="C3" s="2">
        <v>25000</v>
      </c>
    </row>
    <row r="4" spans="1:6" x14ac:dyDescent="0.3">
      <c r="A4" s="4" t="s">
        <v>87</v>
      </c>
      <c r="B4" s="4" t="s">
        <v>22</v>
      </c>
      <c r="C4" s="2">
        <v>18000</v>
      </c>
    </row>
    <row r="5" spans="1:6" x14ac:dyDescent="0.3">
      <c r="A5" s="4" t="s">
        <v>88</v>
      </c>
      <c r="B5" s="4" t="s">
        <v>17</v>
      </c>
      <c r="C5" s="2">
        <v>12000</v>
      </c>
    </row>
    <row r="6" spans="1:6" x14ac:dyDescent="0.3">
      <c r="A6" s="4" t="s">
        <v>89</v>
      </c>
      <c r="B6" s="4" t="s">
        <v>12</v>
      </c>
      <c r="C6" s="2">
        <v>1500</v>
      </c>
    </row>
    <row r="7" spans="1:6" x14ac:dyDescent="0.3">
      <c r="A7" s="4" t="s">
        <v>90</v>
      </c>
      <c r="B7" s="4" t="s">
        <v>15</v>
      </c>
      <c r="C7" s="2">
        <v>800</v>
      </c>
    </row>
    <row r="8" spans="1:6" ht="28.8" x14ac:dyDescent="0.3">
      <c r="A8" s="4" t="s">
        <v>91</v>
      </c>
      <c r="B8" s="4" t="s">
        <v>10</v>
      </c>
      <c r="C8" s="2">
        <v>2000</v>
      </c>
    </row>
    <row r="9" spans="1:6" ht="28.8" x14ac:dyDescent="0.3">
      <c r="A9" s="4" t="s">
        <v>92</v>
      </c>
      <c r="B9" s="4" t="s">
        <v>19</v>
      </c>
      <c r="C9" s="2">
        <v>3500</v>
      </c>
    </row>
    <row r="10" spans="1:6" x14ac:dyDescent="0.3">
      <c r="A10" s="4" t="s">
        <v>93</v>
      </c>
      <c r="B10" s="4" t="s">
        <v>94</v>
      </c>
      <c r="C10" s="2">
        <v>15000</v>
      </c>
    </row>
    <row r="11" spans="1:6" x14ac:dyDescent="0.3">
      <c r="A11" s="4" t="s">
        <v>95</v>
      </c>
      <c r="B11" s="4" t="s">
        <v>96</v>
      </c>
      <c r="C11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XLOOKUP</vt:lpstr>
      <vt:lpstr>Task 2 - XLOOKUP Last</vt:lpstr>
      <vt:lpstr>Task 3 - XLOOKUP Default</vt:lpstr>
      <vt:lpstr>Task 4 - XLOOKUP Multiple</vt:lpstr>
      <vt:lpstr>Task 5 - XLOOKUP Not Found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2026-09-18T10:02:38Z</dcterms:created>
  <dcterms:modified xsi:type="dcterms:W3CDTF">2026-09-18T10:29:18Z</dcterms:modified>
</cp:coreProperties>
</file>